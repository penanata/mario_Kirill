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Заказы" sheetId="2" state="visible" r:id="rId2"/>
    <sheet name="Позиции" sheetId="3" state="visible" r:id="rId3"/>
    <sheet name="Прайс" sheetId="4" state="visible" r:id="rId4"/>
    <sheet name="Платежи" sheetId="5" state="visible" r:id="rId5"/>
    <sheet name="Сводка" sheetId="6" state="visible" r:id="rId6"/>
    <sheet name="Менеджеры" sheetId="7" state="visible" r:id="rId7"/>
  </sheets>
  <definedNames>
    <definedName name="_xlnm._FilterDatabase" localSheetId="1" hidden="1">'Заказы'!$A$1:$R$6</definedName>
    <definedName name="_xlnm._FilterDatabase" localSheetId="2" hidden="1">'Позиции'!$A$1:$J$7</definedName>
    <definedName name="_xlnm._FilterDatabase" localSheetId="3" hidden="1">'Прайс'!$A$1:$J$7</definedName>
    <definedName name="_xlnm._FilterDatabase" localSheetId="4" hidden="1">'Платежи'!$A$1:$H$8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b val="1"/>
      <sz val="16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center" wrapText="1"/>
    </xf>
    <xf numFmtId="165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D9D9D9"/>
        </patternFill>
      </fill>
    </dxf>
    <dxf>
      <fill>
        <patternFill patternType="solid">
          <fgColor rgb="00CFE2F3"/>
        </patternFill>
      </fill>
    </dxf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Деревья — учёт заказов</t>
        </is>
      </c>
    </row>
    <row r="3">
      <c r="A3" s="2" t="inlineStr">
        <is>
          <t>Как открыть в Google Sheets</t>
        </is>
      </c>
    </row>
    <row r="4">
      <c r="A4" t="inlineStr">
        <is>
          <t>1. Загрузите этот файл на Google Диск (drive.google.com).</t>
        </is>
      </c>
    </row>
    <row r="5">
      <c r="A5" t="inlineStr">
        <is>
          <t>2. ПКМ → Открыть с помощью → Google Таблицы.</t>
        </is>
      </c>
    </row>
    <row r="6">
      <c r="A6" t="inlineStr">
        <is>
          <t>3. Файл → Сохранить как таблицу Google (чтобы формулы QUERY на Сводке работали нативно).</t>
        </is>
      </c>
    </row>
    <row r="7">
      <c r="A7" t="inlineStr">
        <is>
          <t>4. Настройки доступа → Добавить penalovan@gmail.com (редактор) или «Все, у кого есть ссылка» → Редактор.</t>
        </is>
      </c>
    </row>
    <row r="9">
      <c r="A9" t="inlineStr">
        <is>
          <t>Листы: Заказы | Позиции | Прайс | Платежи | Сводка | Менеджеры</t>
        </is>
      </c>
    </row>
    <row r="10">
      <c r="A10" t="inlineStr">
        <is>
          <t>Цены в Позициях — снимок; прайс отдельно. Оплаты только через Платежи (нал / р/с).</t>
        </is>
      </c>
    </row>
    <row r="11">
      <c r="A11" t="inlineStr">
        <is>
          <t>Документация: docs/google-sheets-structure.md в Agent Store проекта.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6" customWidth="1" min="4" max="4"/>
    <col width="16" customWidth="1" min="5" max="5"/>
    <col width="32" customWidth="1" min="6" max="6"/>
    <col width="10" customWidth="1" min="7" max="7"/>
    <col width="10" customWidth="1" min="8" max="8"/>
    <col width="12" customWidth="1" min="9" max="9"/>
    <col width="12" customWidth="1" min="10" max="10"/>
    <col width="14" customWidth="1" min="11" max="11"/>
    <col width="10" customWidth="1" min="12" max="12"/>
    <col width="14" customWidth="1" min="13" max="13"/>
    <col width="16" customWidth="1" min="14" max="14"/>
    <col width="12" customWidth="1" min="15" max="15"/>
    <col width="14" customWidth="1" min="16" max="16"/>
    <col width="20" customWidth="1" min="17" max="17"/>
    <col width="36" customWidth="1" min="18" max="18"/>
  </cols>
  <sheetData>
    <row r="1">
      <c r="A1" s="3" t="inlineStr">
        <is>
          <t>ID заказа</t>
        </is>
      </c>
      <c r="B1" s="3" t="inlineStr">
        <is>
          <t>Дата создания</t>
        </is>
      </c>
      <c r="C1" s="3" t="inlineStr">
        <is>
          <t>Дата посадки</t>
        </is>
      </c>
      <c r="D1" s="3" t="inlineStr">
        <is>
          <t>Клиент</t>
        </is>
      </c>
      <c r="E1" s="3" t="inlineStr">
        <is>
          <t>Телефон</t>
        </is>
      </c>
      <c r="F1" s="3" t="inlineStr">
        <is>
          <t>Адрес</t>
        </is>
      </c>
      <c r="G1" s="3" t="inlineStr">
        <is>
          <t>Источник</t>
        </is>
      </c>
      <c r="H1" s="3" t="inlineStr">
        <is>
          <t>Менеджер</t>
        </is>
      </c>
      <c r="I1" s="3" t="inlineStr">
        <is>
          <t>Статус</t>
        </is>
      </c>
      <c r="J1" s="3" t="inlineStr">
        <is>
          <t>Сумма клиенту</t>
        </is>
      </c>
      <c r="K1" s="3" t="inlineStr">
        <is>
          <t>Сумма поставщику</t>
        </is>
      </c>
      <c r="L1" s="3" t="inlineStr">
        <is>
          <t>Маржа</t>
        </is>
      </c>
      <c r="M1" s="3" t="inlineStr">
        <is>
          <t>Оплачено клиентом</t>
        </is>
      </c>
      <c r="N1" s="3" t="inlineStr">
        <is>
          <t>Выплачено поставщику</t>
        </is>
      </c>
      <c r="O1" s="3" t="inlineStr">
        <is>
          <t>Долг клиента</t>
        </is>
      </c>
      <c r="P1" s="3" t="inlineStr">
        <is>
          <t>Долг поставщику</t>
        </is>
      </c>
      <c r="Q1" s="3" t="inlineStr">
        <is>
          <t>Основной канал оплаты</t>
        </is>
      </c>
      <c r="R1" s="3" t="inlineStr">
        <is>
          <t>Комментарий</t>
        </is>
      </c>
    </row>
    <row r="2">
      <c r="A2" t="inlineStr">
        <is>
          <t>З-014</t>
        </is>
      </c>
      <c r="B2" s="4" t="n">
        <v>46275</v>
      </c>
      <c r="C2" s="4" t="n">
        <v>46283</v>
      </c>
      <c r="D2" t="inlineStr">
        <is>
          <t>Петрова Анна</t>
        </is>
      </c>
      <c r="E2" t="inlineStr">
        <is>
          <t>+7 916 111-22-33</t>
        </is>
      </c>
      <c r="F2" t="inlineStr">
        <is>
          <t>Подольск, ул. Ленина 12</t>
        </is>
      </c>
      <c r="G2" t="inlineStr">
        <is>
          <t>Avito</t>
        </is>
      </c>
      <c r="H2" t="inlineStr">
        <is>
          <t>Дарья</t>
        </is>
      </c>
      <c r="I2" t="inlineStr">
        <is>
          <t>подтверждён</t>
        </is>
      </c>
      <c r="J2" s="5">
        <f>SUMIF(Позиции!B:B,A2,Позиции!H:H)</f>
        <v/>
      </c>
      <c r="K2" s="5">
        <f>SUMIF(Позиции!B:B,A2,Позиции!G:G)</f>
        <v/>
      </c>
      <c r="L2" s="5">
        <f>J2-K2</f>
        <v/>
      </c>
      <c r="M2" s="5">
        <f>SUMIFS(Платежи!E:E,Платежи!B:B,A2,Платежи!D:D,"от клиента")</f>
        <v/>
      </c>
      <c r="N2" s="5">
        <f>SUMIFS(Платежи!E:E,Платежи!B:B,A2,Платежи!D:D,"поставщику")</f>
        <v/>
      </c>
      <c r="O2" s="5">
        <f>J2-M2</f>
        <v/>
      </c>
      <c r="P2" s="5">
        <f>K2-N2</f>
        <v/>
      </c>
      <c r="Q2" t="inlineStr">
        <is>
          <t>смешанно</t>
        </is>
      </c>
      <c r="R2" t="inlineStr">
        <is>
          <t>Предоплата 5000 на р/с; остаток налом при посадке</t>
        </is>
      </c>
    </row>
    <row r="3">
      <c r="A3" t="inlineStr">
        <is>
          <t>З-015</t>
        </is>
      </c>
      <c r="B3" s="4" t="n">
        <v>46277</v>
      </c>
      <c r="C3" s="4" t="n">
        <v>46284</v>
      </c>
      <c r="D3" t="inlineStr">
        <is>
          <t>Сидоров Игорь</t>
        </is>
      </c>
      <c r="E3" t="inlineStr">
        <is>
          <t>+7 903 444-55-66</t>
        </is>
      </c>
      <c r="F3" t="inlineStr">
        <is>
          <t>Москва, ул. Академика Янгеля 5 к2</t>
        </is>
      </c>
      <c r="G3" t="inlineStr">
        <is>
          <t>Avito</t>
        </is>
      </c>
      <c r="H3" t="inlineStr">
        <is>
          <t>Наталия</t>
        </is>
      </c>
      <c r="I3" t="inlineStr">
        <is>
          <t>подтверждён</t>
        </is>
      </c>
      <c r="J3" s="5">
        <f>SUMIF(Позиции!B:B,A3,Позиции!H:H)</f>
        <v/>
      </c>
      <c r="K3" s="5">
        <f>SUMIF(Позиции!B:B,A3,Позиции!G:G)</f>
        <v/>
      </c>
      <c r="L3" s="5">
        <f>J3-K3</f>
        <v/>
      </c>
      <c r="M3" s="5">
        <f>SUMIFS(Платежи!E:E,Платежи!B:B,A3,Платежи!D:D,"от клиента")</f>
        <v/>
      </c>
      <c r="N3" s="5">
        <f>SUMIFS(Платежи!E:E,Платежи!B:B,A3,Платежи!D:D,"поставщику")</f>
        <v/>
      </c>
      <c r="O3" s="5">
        <f>J3-M3</f>
        <v/>
      </c>
      <c r="P3" s="5">
        <f>K3-N3</f>
        <v/>
      </c>
      <c r="Q3" t="inlineStr">
        <is>
          <t>на р/с</t>
        </is>
      </c>
      <c r="R3" t="inlineStr">
        <is>
          <t>Отправка СДЭК; нал передать нельзя</t>
        </is>
      </c>
    </row>
    <row r="4">
      <c r="A4" t="inlineStr">
        <is>
          <t>З-016</t>
        </is>
      </c>
      <c r="B4" s="4" t="n">
        <v>46280</v>
      </c>
      <c r="C4" s="4" t="n">
        <v>46285</v>
      </c>
      <c r="D4" t="inlineStr">
        <is>
          <t>Козлова Мария</t>
        </is>
      </c>
      <c r="E4" t="inlineStr">
        <is>
          <t>+7 926 777-88-99</t>
        </is>
      </c>
      <c r="F4" t="inlineStr">
        <is>
          <t>Щербинка, Садовая 8</t>
        </is>
      </c>
      <c r="G4" t="inlineStr">
        <is>
          <t>сайт</t>
        </is>
      </c>
      <c r="H4" t="inlineStr">
        <is>
          <t>Дарья</t>
        </is>
      </c>
      <c r="I4" t="inlineStr">
        <is>
          <t>черновик</t>
        </is>
      </c>
      <c r="J4" s="5">
        <f>SUMIF(Позиции!B:B,A4,Позиции!H:H)</f>
        <v/>
      </c>
      <c r="K4" s="5">
        <f>SUMIF(Позиции!B:B,A4,Позиции!G:G)</f>
        <v/>
      </c>
      <c r="L4" s="5">
        <f>J4-K4</f>
        <v/>
      </c>
      <c r="M4" s="5">
        <f>SUMIFS(Платежи!E:E,Платежи!B:B,A4,Платежи!D:D,"от клиента")</f>
        <v/>
      </c>
      <c r="N4" s="5">
        <f>SUMIFS(Платежи!E:E,Платежи!B:B,A4,Платежи!D:D,"поставщику")</f>
        <v/>
      </c>
      <c r="O4" s="5">
        <f>J4-M4</f>
        <v/>
      </c>
      <c r="P4" s="5">
        <f>K4-N4</f>
        <v/>
      </c>
      <c r="Q4" t="inlineStr">
        <is>
          <t>наличка у поставщика</t>
        </is>
      </c>
      <c r="R4" t="inlineStr">
        <is>
          <t>Ждём подтверждение даты</t>
        </is>
      </c>
    </row>
    <row r="5">
      <c r="A5" t="inlineStr">
        <is>
          <t>З-017</t>
        </is>
      </c>
      <c r="B5" s="4" t="n">
        <v>46273</v>
      </c>
      <c r="C5" s="4" t="n">
        <v>46281</v>
      </c>
      <c r="D5" t="inlineStr">
        <is>
          <t>Иванов Пётр</t>
        </is>
      </c>
      <c r="E5" t="inlineStr">
        <is>
          <t>+7 915 222-33-44</t>
        </is>
      </c>
      <c r="F5" t="inlineStr">
        <is>
          <t>Подольск, Юбилейная 3</t>
        </is>
      </c>
      <c r="G5" t="inlineStr">
        <is>
          <t>Avito</t>
        </is>
      </c>
      <c r="H5" t="inlineStr">
        <is>
          <t>Наталия</t>
        </is>
      </c>
      <c r="I5" t="inlineStr">
        <is>
          <t>выполнен</t>
        </is>
      </c>
      <c r="J5" s="5">
        <f>SUMIF(Позиции!B:B,A5,Позиции!H:H)</f>
        <v/>
      </c>
      <c r="K5" s="5">
        <f>SUMIF(Позиции!B:B,A5,Позиции!G:G)</f>
        <v/>
      </c>
      <c r="L5" s="5">
        <f>J5-K5</f>
        <v/>
      </c>
      <c r="M5" s="5">
        <f>SUMIFS(Платежи!E:E,Платежи!B:B,A5,Платежи!D:D,"от клиента")</f>
        <v/>
      </c>
      <c r="N5" s="5">
        <f>SUMIFS(Платежи!E:E,Платежи!B:B,A5,Платежи!D:D,"поставщику")</f>
        <v/>
      </c>
      <c r="O5" s="5">
        <f>J5-M5</f>
        <v/>
      </c>
      <c r="P5" s="5">
        <f>K5-N5</f>
        <v/>
      </c>
      <c r="Q5" t="inlineStr">
        <is>
          <t>наличка у поставщика</t>
        </is>
      </c>
      <c r="R5" t="inlineStr">
        <is>
          <t>Посадили 4 туи</t>
        </is>
      </c>
    </row>
    <row r="6">
      <c r="A6" t="inlineStr">
        <is>
          <t>З-018</t>
        </is>
      </c>
      <c r="B6" s="4" t="n">
        <v>46279</v>
      </c>
      <c r="C6" s="4" t="n">
        <v>46286</v>
      </c>
      <c r="D6" t="inlineStr">
        <is>
          <t>Морозова Елена</t>
        </is>
      </c>
      <c r="E6" t="inlineStr">
        <is>
          <t>+7 999 100-20-30</t>
        </is>
      </c>
      <c r="F6" t="inlineStr">
        <is>
          <t>Климовск, Лесная 17</t>
        </is>
      </c>
      <c r="G6" t="inlineStr">
        <is>
          <t>Avito</t>
        </is>
      </c>
      <c r="H6" t="inlineStr">
        <is>
          <t>Дарья</t>
        </is>
      </c>
      <c r="I6" t="inlineStr">
        <is>
          <t>подтверждён</t>
        </is>
      </c>
      <c r="J6" s="5">
        <f>SUMIF(Позиции!B:B,A6,Позиции!H:H)</f>
        <v/>
      </c>
      <c r="K6" s="5">
        <f>SUMIF(Позиции!B:B,A6,Позиции!G:G)</f>
        <v/>
      </c>
      <c r="L6" s="5">
        <f>J6-K6</f>
        <v/>
      </c>
      <c r="M6" s="5">
        <f>SUMIFS(Платежи!E:E,Платежи!B:B,A6,Платежи!D:D,"от клиента")</f>
        <v/>
      </c>
      <c r="N6" s="5">
        <f>SUMIFS(Платежи!E:E,Платежи!B:B,A6,Платежи!D:D,"поставщику")</f>
        <v/>
      </c>
      <c r="O6" s="5">
        <f>J6-M6</f>
        <v/>
      </c>
      <c r="P6" s="5">
        <f>K6-N6</f>
        <v/>
      </c>
      <c r="Q6" t="inlineStr">
        <is>
          <t>смешанно</t>
        </is>
      </c>
      <c r="R6" t="inlineStr">
        <is>
          <t>Предоплата на р/с; доплата налом</t>
        </is>
      </c>
    </row>
  </sheetData>
  <autoFilter ref="A1:R6"/>
  <conditionalFormatting sqref="I2:I500">
    <cfRule type="expression" priority="1" dxfId="0">
      <formula>$I2="черновик"</formula>
    </cfRule>
    <cfRule type="expression" priority="2" dxfId="1">
      <formula>$I2="подтверждён"</formula>
    </cfRule>
    <cfRule type="expression" priority="3" dxfId="2">
      <formula>$I2="выполнен"</formula>
    </cfRule>
    <cfRule type="expression" priority="4" dxfId="3">
      <formula>$I2="отменён"</formula>
    </cfRule>
  </conditionalFormatting>
  <conditionalFormatting sqref="O2:P500">
    <cfRule type="cellIs" priority="5" operator="greaterThan" dxfId="4">
      <formula>0</formula>
    </cfRule>
  </conditionalFormatting>
  <dataValidations count="2">
    <dataValidation sqref="I2:I500" showDropDown="0" showInputMessage="0" showErrorMessage="0" allowBlank="1" type="list">
      <formula1>"черновик,подтверждён,выполнен,отменён"</formula1>
    </dataValidation>
    <dataValidation sqref="Q2:Q500" showDropDown="0" showInputMessage="0" showErrorMessage="0" allowBlank="1" type="list">
      <formula1>"наличка у поставщика,на р/с,смешанно"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28" customWidth="1" min="10" max="10"/>
  </cols>
  <sheetData>
    <row r="1">
      <c r="A1" s="3" t="inlineStr">
        <is>
          <t>ID позиции</t>
        </is>
      </c>
      <c r="B1" s="3" t="inlineStr">
        <is>
          <t>ID заказа</t>
        </is>
      </c>
      <c r="C1" s="3" t="inlineStr">
        <is>
          <t>Растение</t>
        </is>
      </c>
      <c r="D1" s="3" t="inlineStr">
        <is>
          <t>Кол-во</t>
        </is>
      </c>
      <c r="E1" s="3" t="inlineStr">
        <is>
          <t>Цена поставщика (снимок)</t>
        </is>
      </c>
      <c r="F1" s="3" t="inlineStr">
        <is>
          <t>Цена продажи (снимок)</t>
        </is>
      </c>
      <c r="G1" s="3" t="inlineStr">
        <is>
          <t>Сумма поставщику</t>
        </is>
      </c>
      <c r="H1" s="3" t="inlineStr">
        <is>
          <t>Сумма клиенту</t>
        </is>
      </c>
      <c r="I1" s="3" t="inlineStr">
        <is>
          <t>Маржа строки</t>
        </is>
      </c>
      <c r="J1" s="3" t="inlineStr">
        <is>
          <t>Примечание</t>
        </is>
      </c>
    </row>
    <row r="2">
      <c r="A2" t="inlineStr">
        <is>
          <t>П-031</t>
        </is>
      </c>
      <c r="B2" t="inlineStr">
        <is>
          <t>З-014</t>
        </is>
      </c>
      <c r="C2" t="inlineStr">
        <is>
          <t>Туя западная Smaragd 80–100</t>
        </is>
      </c>
      <c r="D2" t="n">
        <v>4</v>
      </c>
      <c r="E2" s="5" t="n">
        <v>1800</v>
      </c>
      <c r="F2" s="5" t="n">
        <v>3200</v>
      </c>
      <c r="G2" s="5">
        <f>D2*E2</f>
        <v/>
      </c>
      <c r="H2" s="5">
        <f>D2*F2</f>
        <v/>
      </c>
      <c r="I2" s="5">
        <f>H2-G2</f>
        <v/>
      </c>
      <c r="J2" t="inlineStr">
        <is>
          <t>высота 80-100 см</t>
        </is>
      </c>
    </row>
    <row r="3">
      <c r="A3" t="inlineStr">
        <is>
          <t>П-032</t>
        </is>
      </c>
      <c r="B3" t="inlineStr">
        <is>
          <t>З-014</t>
        </is>
      </c>
      <c r="C3" t="inlineStr">
        <is>
          <t>Гортензия метельчатая Limelight</t>
        </is>
      </c>
      <c r="D3" t="n">
        <v>2</v>
      </c>
      <c r="E3" s="5" t="n">
        <v>900</v>
      </c>
      <c r="F3" s="5" t="n">
        <v>1800</v>
      </c>
      <c r="G3" s="5">
        <f>D3*E3</f>
        <v/>
      </c>
      <c r="H3" s="5">
        <f>D3*F3</f>
        <v/>
      </c>
      <c r="I3" s="5">
        <f>H3-G3</f>
        <v/>
      </c>
      <c r="J3" t="inlineStr"/>
    </row>
    <row r="4">
      <c r="A4" t="inlineStr">
        <is>
          <t>П-033</t>
        </is>
      </c>
      <c r="B4" t="inlineStr">
        <is>
          <t>З-015</t>
        </is>
      </c>
      <c r="C4" t="inlineStr">
        <is>
          <t>Ель обыкновенная 1.2–1.5 м</t>
        </is>
      </c>
      <c r="D4" t="n">
        <v>1</v>
      </c>
      <c r="E4" s="5" t="n">
        <v>4500</v>
      </c>
      <c r="F4" s="5" t="n">
        <v>7900</v>
      </c>
      <c r="G4" s="5">
        <f>D4*E4</f>
        <v/>
      </c>
      <c r="H4" s="5">
        <f>D4*F4</f>
        <v/>
      </c>
      <c r="I4" s="5">
        <f>H4-G4</f>
        <v/>
      </c>
      <c r="J4" t="inlineStr">
        <is>
          <t>отправка СДЭК</t>
        </is>
      </c>
    </row>
    <row r="5">
      <c r="A5" t="inlineStr">
        <is>
          <t>П-034</t>
        </is>
      </c>
      <c r="B5" t="inlineStr">
        <is>
          <t>З-016</t>
        </is>
      </c>
      <c r="C5" t="inlineStr">
        <is>
          <t>Туя западная Smaragd 80–100</t>
        </is>
      </c>
      <c r="D5" t="n">
        <v>2</v>
      </c>
      <c r="E5" s="5" t="n">
        <v>1800</v>
      </c>
      <c r="F5" s="5" t="n">
        <v>3200</v>
      </c>
      <c r="G5" s="5">
        <f>D5*E5</f>
        <v/>
      </c>
      <c r="H5" s="5">
        <f>D5*F5</f>
        <v/>
      </c>
      <c r="I5" s="5">
        <f>H5-G5</f>
        <v/>
      </c>
      <c r="J5" t="inlineStr">
        <is>
          <t>черновик</t>
        </is>
      </c>
    </row>
    <row r="6">
      <c r="A6" t="inlineStr">
        <is>
          <t>П-035</t>
        </is>
      </c>
      <c r="B6" t="inlineStr">
        <is>
          <t>З-017</t>
        </is>
      </c>
      <c r="C6" t="inlineStr">
        <is>
          <t>Туя западная Smaragd 80–100</t>
        </is>
      </c>
      <c r="D6" t="n">
        <v>4</v>
      </c>
      <c r="E6" s="5" t="n">
        <v>1800</v>
      </c>
      <c r="F6" s="5" t="n">
        <v>3200</v>
      </c>
      <c r="G6" s="5">
        <f>D6*E6</f>
        <v/>
      </c>
      <c r="H6" s="5">
        <f>D6*F6</f>
        <v/>
      </c>
      <c r="I6" s="5">
        <f>H6-G6</f>
        <v/>
      </c>
      <c r="J6" t="inlineStr"/>
    </row>
    <row r="7">
      <c r="A7" t="inlineStr">
        <is>
          <t>П-036</t>
        </is>
      </c>
      <c r="B7" t="inlineStr">
        <is>
          <t>З-018</t>
        </is>
      </c>
      <c r="C7" t="inlineStr">
        <is>
          <t>Гортензия метельчатая Limelight</t>
        </is>
      </c>
      <c r="D7" t="n">
        <v>10</v>
      </c>
      <c r="E7" s="5" t="n">
        <v>900</v>
      </c>
      <c r="F7" s="5" t="n">
        <v>1800</v>
      </c>
      <c r="G7" s="5">
        <f>D7*E7</f>
        <v/>
      </c>
      <c r="H7" s="5">
        <f>D7*F7</f>
        <v/>
      </c>
      <c r="I7" s="5">
        <f>H7-G7</f>
        <v/>
      </c>
      <c r="J7" t="inlineStr">
        <is>
          <t>партия для живой изгороди</t>
        </is>
      </c>
    </row>
  </sheetData>
  <autoFilter ref="A1:J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6" customWidth="1" min="2" max="2"/>
    <col width="6" customWidth="1" min="3" max="3"/>
    <col width="14" customWidth="1" min="4" max="4"/>
    <col width="14" customWidth="1" min="5" max="5"/>
    <col width="10" customWidth="1" min="6" max="6"/>
    <col width="10" customWidth="1" min="7" max="7"/>
    <col width="14" customWidth="1" min="8" max="8"/>
    <col width="12" customWidth="1" min="9" max="9"/>
    <col width="22" customWidth="1" min="10" max="10"/>
  </cols>
  <sheetData>
    <row r="1">
      <c r="A1" s="3" t="inlineStr">
        <is>
          <t>ID</t>
        </is>
      </c>
      <c r="B1" s="3" t="inlineStr">
        <is>
          <t>Название</t>
        </is>
      </c>
      <c r="C1" s="3" t="inlineStr">
        <is>
          <t>Ед.</t>
        </is>
      </c>
      <c r="D1" s="3" t="inlineStr">
        <is>
          <t>Цена поставщика</t>
        </is>
      </c>
      <c r="E1" s="3" t="inlineStr">
        <is>
          <t>Цена продажи</t>
        </is>
      </c>
      <c r="F1" s="3" t="inlineStr">
        <is>
          <t>Маржа ед.</t>
        </is>
      </c>
      <c r="G1" s="3" t="inlineStr">
        <is>
          <t>Активен</t>
        </is>
      </c>
      <c r="H1" s="3" t="inlineStr">
        <is>
          <t>Дата обновления</t>
        </is>
      </c>
      <c r="I1" s="3" t="inlineStr">
        <is>
          <t>Кто обновил</t>
        </is>
      </c>
      <c r="J1" s="3" t="inlineStr">
        <is>
          <t>Примечание</t>
        </is>
      </c>
    </row>
    <row r="2">
      <c r="A2" t="inlineStr">
        <is>
          <t>R-012</t>
        </is>
      </c>
      <c r="B2" t="inlineStr">
        <is>
          <t>Туя западная Smaragd 80–100</t>
        </is>
      </c>
      <c r="C2" t="inlineStr">
        <is>
          <t>шт</t>
        </is>
      </c>
      <c r="D2" s="5" t="n">
        <v>1800</v>
      </c>
      <c r="E2" s="5" t="n">
        <v>3200</v>
      </c>
      <c r="F2" s="5">
        <f>E2-D2</f>
        <v/>
      </c>
      <c r="G2" t="inlineStr">
        <is>
          <t>да</t>
        </is>
      </c>
      <c r="H2" s="4" t="n">
        <v>46266</v>
      </c>
      <c r="I2" t="inlineStr">
        <is>
          <t>поставщик</t>
        </is>
      </c>
      <c r="J2" t="inlineStr"/>
    </row>
    <row r="3">
      <c r="A3" t="inlineStr">
        <is>
          <t>R-045</t>
        </is>
      </c>
      <c r="B3" t="inlineStr">
        <is>
          <t>Ель обыкновенная 1.2–1.5 м</t>
        </is>
      </c>
      <c r="C3" t="inlineStr">
        <is>
          <t>шт</t>
        </is>
      </c>
      <c r="D3" s="5" t="n">
        <v>4500</v>
      </c>
      <c r="E3" s="5" t="n">
        <v>7900</v>
      </c>
      <c r="F3" s="5">
        <f>E3-D3</f>
        <v/>
      </c>
      <c r="G3" t="inlineStr">
        <is>
          <t>да</t>
        </is>
      </c>
      <c r="H3" s="4" t="n">
        <v>46270</v>
      </c>
      <c r="I3" t="inlineStr">
        <is>
          <t>поставщик</t>
        </is>
      </c>
      <c r="J3" t="inlineStr">
        <is>
          <t>цена выросла с 4200</t>
        </is>
      </c>
    </row>
    <row r="4">
      <c r="A4" t="inlineStr">
        <is>
          <t>R-078</t>
        </is>
      </c>
      <c r="B4" t="inlineStr">
        <is>
          <t>Гортензия метельчатая Limelight</t>
        </is>
      </c>
      <c r="C4" t="inlineStr">
        <is>
          <t>шт</t>
        </is>
      </c>
      <c r="D4" s="5" t="n">
        <v>900</v>
      </c>
      <c r="E4" s="5" t="n">
        <v>1800</v>
      </c>
      <c r="F4" s="5">
        <f>E4-D4</f>
        <v/>
      </c>
      <c r="G4" t="inlineStr">
        <is>
          <t>да</t>
        </is>
      </c>
      <c r="H4" s="4" t="n">
        <v>46254</v>
      </c>
      <c r="I4" t="inlineStr">
        <is>
          <t>Дарья</t>
        </is>
      </c>
      <c r="J4" t="inlineStr"/>
    </row>
    <row r="5">
      <c r="A5" t="inlineStr">
        <is>
          <t>R-091</t>
        </is>
      </c>
      <c r="B5" t="inlineStr">
        <is>
          <t>Спирея японская Goldflame</t>
        </is>
      </c>
      <c r="C5" t="inlineStr">
        <is>
          <t>шт</t>
        </is>
      </c>
      <c r="D5" s="5" t="n">
        <v>450</v>
      </c>
      <c r="E5" s="5" t="n">
        <v>950</v>
      </c>
      <c r="F5" s="5">
        <f>E5-D5</f>
        <v/>
      </c>
      <c r="G5" t="inlineStr">
        <is>
          <t>да</t>
        </is>
      </c>
      <c r="H5" s="4" t="n">
        <v>46275</v>
      </c>
      <c r="I5" t="inlineStr">
        <is>
          <t>поставщик</t>
        </is>
      </c>
      <c r="J5" t="inlineStr"/>
    </row>
    <row r="6">
      <c r="A6" t="inlineStr">
        <is>
          <t>R-102</t>
        </is>
      </c>
      <c r="B6" t="inlineStr">
        <is>
          <t>Клён остролистный 2.0–2.5 м</t>
        </is>
      </c>
      <c r="C6" t="inlineStr">
        <is>
          <t>шт</t>
        </is>
      </c>
      <c r="D6" s="5" t="n">
        <v>6500</v>
      </c>
      <c r="E6" s="5" t="n">
        <v>11000</v>
      </c>
      <c r="F6" s="5">
        <f>E6-D6</f>
        <v/>
      </c>
      <c r="G6" t="inlineStr">
        <is>
          <t>да</t>
        </is>
      </c>
      <c r="H6" s="4" t="n">
        <v>46268</v>
      </c>
      <c r="I6" t="inlineStr">
        <is>
          <t>Наталия</t>
        </is>
      </c>
      <c r="J6" t="inlineStr">
        <is>
          <t>редкая позиция</t>
        </is>
      </c>
    </row>
    <row r="7">
      <c r="A7" t="inlineStr">
        <is>
          <t>R-110</t>
        </is>
      </c>
      <c r="B7" t="inlineStr">
        <is>
          <t>Барбарис Тунберга Atropurpurea</t>
        </is>
      </c>
      <c r="C7" t="inlineStr">
        <is>
          <t>шт</t>
        </is>
      </c>
      <c r="D7" s="5" t="n">
        <v>350</v>
      </c>
      <c r="E7" s="5" t="n">
        <v>750</v>
      </c>
      <c r="F7" s="5">
        <f>E7-D7</f>
        <v/>
      </c>
      <c r="G7" t="inlineStr">
        <is>
          <t>нет</t>
        </is>
      </c>
      <c r="H7" s="4" t="n">
        <v>46277</v>
      </c>
      <c r="I7" t="inlineStr">
        <is>
          <t>поставщик</t>
        </is>
      </c>
      <c r="J7" t="inlineStr">
        <is>
          <t>нет в наличии</t>
        </is>
      </c>
    </row>
  </sheetData>
  <autoFilter ref="A1:J7"/>
  <dataValidations count="1">
    <dataValidation sqref="G2:G500" showDropDown="0" showInputMessage="0" showErrorMessage="0" allowBlank="1" type="list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0" customWidth="1" min="5" max="5"/>
    <col width="22" customWidth="1" min="6" max="6"/>
    <col width="16" customWidth="1" min="7" max="7"/>
    <col width="36" customWidth="1" min="8" max="8"/>
  </cols>
  <sheetData>
    <row r="1">
      <c r="A1" s="3" t="inlineStr">
        <is>
          <t>ID платежа</t>
        </is>
      </c>
      <c r="B1" s="3" t="inlineStr">
        <is>
          <t>ID заказа</t>
        </is>
      </c>
      <c r="C1" s="3" t="inlineStr">
        <is>
          <t>Дата</t>
        </is>
      </c>
      <c r="D1" s="3" t="inlineStr">
        <is>
          <t>Тип</t>
        </is>
      </c>
      <c r="E1" s="3" t="inlineStr">
        <is>
          <t>Сумма</t>
        </is>
      </c>
      <c r="F1" s="3" t="inlineStr">
        <is>
          <t>Куда / откуда</t>
        </is>
      </c>
      <c r="G1" s="3" t="inlineStr">
        <is>
          <t>Кто зафиксировал</t>
        </is>
      </c>
      <c r="H1" s="3" t="inlineStr">
        <is>
          <t>Комментарий</t>
        </is>
      </c>
    </row>
    <row r="2">
      <c r="A2" t="inlineStr">
        <is>
          <t>ОПЛ-018</t>
        </is>
      </c>
      <c r="B2" t="inlineStr">
        <is>
          <t>З-017</t>
        </is>
      </c>
      <c r="C2" s="4" t="n">
        <v>46281</v>
      </c>
      <c r="D2" t="inlineStr">
        <is>
          <t>от клиента</t>
        </is>
      </c>
      <c r="E2" s="5" t="n">
        <v>12800</v>
      </c>
      <c r="F2" t="inlineStr">
        <is>
          <t>наличка у поставщика</t>
        </is>
      </c>
      <c r="G2" t="inlineStr">
        <is>
          <t>Наталия</t>
        </is>
      </c>
      <c r="H2" t="inlineStr">
        <is>
          <t>полная оплата при посадке</t>
        </is>
      </c>
    </row>
    <row r="3">
      <c r="A3" t="inlineStr">
        <is>
          <t>ОПЛ-019</t>
        </is>
      </c>
      <c r="B3" t="inlineStr">
        <is>
          <t>З-017</t>
        </is>
      </c>
      <c r="C3" s="4" t="n">
        <v>46281</v>
      </c>
      <c r="D3" t="inlineStr">
        <is>
          <t>поставщику</t>
        </is>
      </c>
      <c r="E3" s="5" t="n">
        <v>7200</v>
      </c>
      <c r="F3" t="inlineStr">
        <is>
          <t>наличка у поставщика</t>
        </is>
      </c>
      <c r="G3" t="inlineStr">
        <is>
          <t>Наталия</t>
        </is>
      </c>
      <c r="H3" t="inlineStr">
        <is>
          <t>закуп оставлен поставщику</t>
        </is>
      </c>
    </row>
    <row r="4">
      <c r="A4" t="inlineStr">
        <is>
          <t>ОПЛ-020</t>
        </is>
      </c>
      <c r="B4" t="inlineStr">
        <is>
          <t>З-014</t>
        </is>
      </c>
      <c r="C4" s="4" t="n">
        <v>46275</v>
      </c>
      <c r="D4" t="inlineStr">
        <is>
          <t>от клиента</t>
        </is>
      </c>
      <c r="E4" s="5" t="n">
        <v>5000</v>
      </c>
      <c r="F4" t="inlineStr">
        <is>
          <t>на р/с</t>
        </is>
      </c>
      <c r="G4" t="inlineStr">
        <is>
          <t>Дарья</t>
        </is>
      </c>
      <c r="H4" t="inlineStr">
        <is>
          <t>предоплата</t>
        </is>
      </c>
    </row>
    <row r="5">
      <c r="A5" t="inlineStr">
        <is>
          <t>ОПЛ-021</t>
        </is>
      </c>
      <c r="B5" t="inlineStr">
        <is>
          <t>З-014</t>
        </is>
      </c>
      <c r="C5" s="4" t="n">
        <v>46283</v>
      </c>
      <c r="D5" t="inlineStr">
        <is>
          <t>от клиента</t>
        </is>
      </c>
      <c r="E5" s="5" t="n">
        <v>11400</v>
      </c>
      <c r="F5" t="inlineStr">
        <is>
          <t>наличка у поставщика</t>
        </is>
      </c>
      <c r="G5" t="inlineStr">
        <is>
          <t>Дарья</t>
        </is>
      </c>
      <c r="H5" t="inlineStr">
        <is>
          <t>доплата при посадке</t>
        </is>
      </c>
    </row>
    <row r="6">
      <c r="A6" t="inlineStr">
        <is>
          <t>ОПЛ-022</t>
        </is>
      </c>
      <c r="B6" t="inlineStr">
        <is>
          <t>З-014</t>
        </is>
      </c>
      <c r="C6" s="4" t="n">
        <v>46283</v>
      </c>
      <c r="D6" t="inlineStr">
        <is>
          <t>поставщику</t>
        </is>
      </c>
      <c r="E6" s="5" t="n">
        <v>9000</v>
      </c>
      <c r="F6" t="inlineStr">
        <is>
          <t>наличка у поставщика</t>
        </is>
      </c>
      <c r="G6" t="inlineStr">
        <is>
          <t>Дарья</t>
        </is>
      </c>
      <c r="H6" t="inlineStr">
        <is>
          <t>закуп за туи и гортензии</t>
        </is>
      </c>
    </row>
    <row r="7">
      <c r="A7" t="inlineStr">
        <is>
          <t>ОПЛ-023</t>
        </is>
      </c>
      <c r="B7" t="inlineStr">
        <is>
          <t>З-015</t>
        </is>
      </c>
      <c r="C7" s="4" t="n">
        <v>46277</v>
      </c>
      <c r="D7" t="inlineStr">
        <is>
          <t>от клиента</t>
        </is>
      </c>
      <c r="E7" s="5" t="n">
        <v>7900</v>
      </c>
      <c r="F7" t="inlineStr">
        <is>
          <t>на р/с</t>
        </is>
      </c>
      <c r="G7" t="inlineStr">
        <is>
          <t>Наталия</t>
        </is>
      </c>
      <c r="H7" t="inlineStr">
        <is>
          <t>оплата до отправки СДЭК</t>
        </is>
      </c>
    </row>
    <row r="8">
      <c r="A8" t="inlineStr">
        <is>
          <t>ОПЛ-024</t>
        </is>
      </c>
      <c r="B8" t="inlineStr">
        <is>
          <t>З-018</t>
        </is>
      </c>
      <c r="C8" s="4" t="n">
        <v>46279</v>
      </c>
      <c r="D8" t="inlineStr">
        <is>
          <t>от клиента</t>
        </is>
      </c>
      <c r="E8" s="5" t="n">
        <v>5000</v>
      </c>
      <c r="F8" t="inlineStr">
        <is>
          <t>на р/с</t>
        </is>
      </c>
      <c r="G8" t="inlineStr">
        <is>
          <t>Дарья</t>
        </is>
      </c>
      <c r="H8" t="inlineStr">
        <is>
          <t>предоплата; остаток 13000 при посадке</t>
        </is>
      </c>
    </row>
  </sheetData>
  <autoFilter ref="A1:H8"/>
  <dataValidations count="2">
    <dataValidation sqref="D2:D500" showDropDown="0" showInputMessage="0" showErrorMessage="0" allowBlank="1" type="list">
      <formula1>"от клиента,поставщику"</formula1>
    </dataValidation>
    <dataValidation sqref="F2:F500" showDropDown="0" showInputMessage="0" showErrorMessage="0" allowBlank="1" type="list">
      <formula1>"наличка у поставщика,на р/с"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20" customWidth="1" min="3" max="3"/>
  </cols>
  <sheetData>
    <row r="1">
      <c r="A1" s="6" t="inlineStr">
        <is>
          <t>День поставщика</t>
        </is>
      </c>
    </row>
    <row r="2">
      <c r="A2" t="inlineStr">
        <is>
          <t>Дата дня</t>
        </is>
      </c>
      <c r="B2" s="4" t="n">
        <v>46283</v>
      </c>
    </row>
    <row r="3">
      <c r="A3" t="inlineStr">
        <is>
          <t>Заказы на дату (QUERY — работает в Google Sheets после загрузки)</t>
        </is>
      </c>
    </row>
    <row r="4">
      <c r="A4">
        <f>QUERY(Заказы!A:R,"select A,C,D,E,F,J,K,Q where C = date '"&amp;TEXT(B2,"yyyy-mm-dd")&amp;"' and I &lt;&gt; 'отменён' order by F",1)</f>
        <v/>
      </c>
    </row>
    <row r="6">
      <c r="A6" s="6" t="inlineStr">
        <is>
          <t>Деньги</t>
        </is>
      </c>
    </row>
    <row r="7">
      <c r="A7" s="7" t="inlineStr">
        <is>
          <t>Показатель</t>
        </is>
      </c>
      <c r="B7" s="7" t="inlineStr">
        <is>
          <t>Значение</t>
        </is>
      </c>
    </row>
    <row r="8">
      <c r="A8" t="inlineStr">
        <is>
          <t>Выручка (выполненные)</t>
        </is>
      </c>
      <c r="B8" s="5">
        <f>SUMIF(Заказы!I:I,"выполнен",Заказы!J:J)</f>
        <v/>
      </c>
    </row>
    <row r="9">
      <c r="A9" t="inlineStr">
        <is>
          <t>Закуп (выполненные)</t>
        </is>
      </c>
      <c r="B9" s="5">
        <f>SUMIF(Заказы!I:I,"выполнен",Заказы!K:K)</f>
        <v/>
      </c>
    </row>
    <row r="10">
      <c r="A10" t="inlineStr">
        <is>
          <t>Маржа выполненных</t>
        </is>
      </c>
      <c r="B10" s="5">
        <f>B8-B9</f>
        <v/>
      </c>
    </row>
    <row r="11">
      <c r="A11" t="inlineStr">
        <is>
          <t>Долг клиентов всего</t>
        </is>
      </c>
      <c r="B11" s="5">
        <f>SUMIF(Заказы!I:I,"&lt;&gt;отменён",Заказы!O:O)</f>
        <v/>
      </c>
    </row>
    <row r="12">
      <c r="A12" t="inlineStr">
        <is>
          <t>Долг поставщику всего</t>
        </is>
      </c>
      <c r="B12" s="5">
        <f>SUMIF(Заказы!I:I,"&lt;&gt;отменён",Заказы!P:P)</f>
        <v/>
      </c>
    </row>
    <row r="13">
      <c r="A13" t="inlineStr">
        <is>
          <t>Обороты: наличка у поставщика</t>
        </is>
      </c>
      <c r="B13" s="5">
        <f>SUMIF(Платежи!F:F,"наличка у поставщика",Платежи!E:E)</f>
        <v/>
      </c>
    </row>
    <row r="14">
      <c r="A14" t="inlineStr">
        <is>
          <t>Обороты: на р/с</t>
        </is>
      </c>
      <c r="B14" s="5">
        <f>SUMIF(Платежи!F:F,"на р/с",Платежи!E:E)</f>
        <v/>
      </c>
    </row>
    <row r="16">
      <c r="A16" s="8" t="inlineStr">
        <is>
          <t>Подсказка: в Excel QUERY не работает — смотрите фильтр на листе Заказы по дате посадки. В Google Sheets QUERY заработает после File → Import / Open.</t>
        </is>
      </c>
    </row>
    <row r="17"/>
  </sheetData>
  <mergeCells count="1">
    <mergeCell ref="A16:B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22" customWidth="1" min="4" max="4"/>
    <col width="18" customWidth="1" min="5" max="5"/>
    <col width="16" customWidth="1" min="6" max="6"/>
    <col width="14" customWidth="1" min="7" max="7"/>
  </cols>
  <sheetData>
    <row r="1">
      <c r="A1" s="9" t="inlineStr">
        <is>
          <t>Срез по менеджерам (чистыми = маржа). Без отменённых. Период опционален: если B/C пустые — все даты.</t>
        </is>
      </c>
    </row>
    <row r="2">
      <c r="A2" s="3" t="inlineStr">
        <is>
          <t>Менеджер</t>
        </is>
      </c>
      <c r="B2" s="3" t="inlineStr">
        <is>
          <t>Период с</t>
        </is>
      </c>
      <c r="C2" s="3" t="inlineStr">
        <is>
          <t>Период по</t>
        </is>
      </c>
      <c r="D2" s="3" t="inlineStr">
        <is>
          <t>Продажи (сумма клиенту)</t>
        </is>
      </c>
      <c r="E2" s="3" t="inlineStr">
        <is>
          <t>Закуп поставщику</t>
        </is>
      </c>
      <c r="F2" s="3" t="inlineStr">
        <is>
          <t>Чистыми (маржа)</t>
        </is>
      </c>
      <c r="G2" s="3" t="inlineStr">
        <is>
          <t>Число заказов</t>
        </is>
      </c>
    </row>
    <row r="3">
      <c r="A3" t="inlineStr">
        <is>
          <t>Наталия</t>
        </is>
      </c>
      <c r="D3" s="5">
        <f>IF(AND(B3="",C3=""),SUMIFS(Заказы!J:J,Заказы!H:H,A3,Заказы!I:I,"&lt;&gt;отменён"),SUMIFS(Заказы!J:J,Заказы!H:H,A3,Заказы!I:I,"&lt;&gt;отменён",Заказы!C:C,"&gt;="&amp;B3,Заказы!C:C,"&lt;="&amp;C3))</f>
        <v/>
      </c>
      <c r="E3" s="5">
        <f>IF(AND(B3="",C3=""),SUMIFS(Заказы!K:K,Заказы!H:H,A3,Заказы!I:I,"&lt;&gt;отменён"),SUMIFS(Заказы!K:K,Заказы!H:H,A3,Заказы!I:I,"&lt;&gt;отменён",Заказы!C:C,"&gt;="&amp;B3,Заказы!C:C,"&lt;="&amp;C3))</f>
        <v/>
      </c>
      <c r="F3" s="5">
        <f>D3-E3</f>
        <v/>
      </c>
      <c r="G3">
        <f>IF(AND(B3="",C3=""),COUNTIFS(Заказы!H:H,A3,Заказы!I:I,"&lt;&gt;отменён"),COUNTIFS(Заказы!H:H,A3,Заказы!I:I,"&lt;&gt;отменён",Заказы!C:C,"&gt;="&amp;B3,Заказы!C:C,"&lt;="&amp;C3))</f>
        <v/>
      </c>
    </row>
    <row r="4">
      <c r="A4" t="inlineStr">
        <is>
          <t>Дарья</t>
        </is>
      </c>
      <c r="D4" s="5">
        <f>IF(AND(B4="",C4=""),SUMIFS(Заказы!J:J,Заказы!H:H,A4,Заказы!I:I,"&lt;&gt;отменён"),SUMIFS(Заказы!J:J,Заказы!H:H,A4,Заказы!I:I,"&lt;&gt;отменён",Заказы!C:C,"&gt;="&amp;B4,Заказы!C:C,"&lt;="&amp;C4))</f>
        <v/>
      </c>
      <c r="E4" s="5">
        <f>IF(AND(B4="",C4=""),SUMIFS(Заказы!K:K,Заказы!H:H,A4,Заказы!I:I,"&lt;&gt;отменён"),SUMIFS(Заказы!K:K,Заказы!H:H,A4,Заказы!I:I,"&lt;&gt;отменён",Заказы!C:C,"&gt;="&amp;B4,Заказы!C:C,"&lt;="&amp;C4))</f>
        <v/>
      </c>
      <c r="F4" s="5">
        <f>D4-E4</f>
        <v/>
      </c>
      <c r="G4">
        <f>IF(AND(B4="",C4=""),COUNTIFS(Заказы!H:H,A4,Заказы!I:I,"&lt;&gt;отменён"),COUNTIFS(Заказы!H:H,A4,Заказы!I:I,"&lt;&gt;отменён",Заказы!C:C,"&gt;="&amp;B4,Заказы!C:C,"&lt;="&amp;C4))</f>
        <v/>
      </c>
    </row>
    <row r="5">
      <c r="A5" s="2" t="inlineStr">
        <is>
          <t>Итого</t>
        </is>
      </c>
      <c r="D5" s="5">
        <f>D3+D4</f>
        <v/>
      </c>
      <c r="E5" s="5">
        <f>E3+E4</f>
        <v/>
      </c>
      <c r="F5" s="5">
        <f>F3+F4</f>
        <v/>
      </c>
      <c r="G5">
        <f>G3+G4</f>
        <v/>
      </c>
    </row>
    <row r="7">
      <c r="A7" s="8" t="inlineStr">
        <is>
          <t>Пример с периодом: укажите в B3/C3 даты посадки (например 2026-09-01 … 2026-09-30) — цифры пересчитаются.</t>
        </is>
      </c>
    </row>
    <row r="8"/>
  </sheetData>
  <mergeCells count="2">
    <mergeCell ref="A7:G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2026-09-19T10:51:06Z</dcterms:created>
  <dcterms:modified xsi:type="dcterms:W3CDTF">2026-09-19T10:51:06Z</dcterms:modified>
</cp:coreProperties>
</file>